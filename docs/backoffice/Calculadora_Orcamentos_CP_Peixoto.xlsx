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73ae95a57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dora" sheetId="1" r:id="R4d97d851fa4749df"/>
    <x:sheet xmlns:r="http://schemas.openxmlformats.org/officeDocument/2006/relationships" name="Como utilizar" sheetId="2" r:id="R8cda02ba562b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#,##0.00 &quot;CHF&quot;;[Red](#,##0.00 &quot;CHF&quot;);-"/>
    <x:numFmt numFmtId="202" formatCode="0.00%"/>
  </x:numFmts>
  <x:fonts count="8">
    <x:font>
      <x:sz val="11"/>
      <x:name val="Carlito"/>
    </x:font>
    <x:font>
      <x:sz val="10"/>
      <x:color rgb="FF222222"/>
      <x:name val="Arial"/>
    </x:font>
    <x:font>
      <x:b/>
      <x:sz val="16"/>
      <x:color rgb="FF27313A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27313A"/>
      <x:name val="Arial"/>
    </x:font>
    <x:font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27313A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D9A441"/>
      </x:patternFill>
    </x:fill>
    <x:fill>
      <x:patternFill patternType="solid">
        <x:fgColor rgb="FFF3F5F7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CC8D3"/>
      </x:bottom>
    </x:border>
    <x:border>
      <x:top style="thin">
        <x:color rgb="FFBCC8D3"/>
      </x:top>
      <x:bottom style="thin">
        <x:color rgb="FFBCC8D3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1" fontId="1" fillId="6" borderId="5" xfId="0" applyNumberFormat="1" applyFont="1" applyFill="1" applyBorder="1" applyAlignment="1">
      <x:alignment vertical="center"/>
    </x:xf>
    <x:xf numFmtId="202" fontId="5" fillId="3" borderId="5" xfId="0" applyNumberFormat="1" applyFont="1" applyFill="1" applyBorder="1" applyAlignment="1">
      <x:alignment vertical="center"/>
    </x:xf>
    <x:xf numFmtId="201" fontId="1" fillId="6" borderId="6" xfId="0" applyNumberFormat="1" applyFont="1" applyFill="1" applyBorder="1" applyAlignment="1">
      <x:alignment vertical="center"/>
    </x:xf>
    <x:xf numFmtId="202" fontId="5" fillId="3" borderId="6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202" fontId="1" fillId="6" borderId="5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vertical="center"/>
    </x:xf>
    <x:xf numFmtId="201" fontId="5" fillId="6" borderId="6" xfId="0" applyNumberFormat="1" applyFont="1" applyFill="1" applyBorder="1" applyAlignment="1">
      <x:alignment vertical="center"/>
    </x:xf>
    <x:xf numFmtId="202" fontId="1" fillId="6" borderId="6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200" fontId="1" fillId="6" borderId="6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7" fillId="2" borderId="6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7177e1c794eee" /><Relationship Type="http://schemas.openxmlformats.org/officeDocument/2006/relationships/theme" Target="/xl/theme/theme1.xml" Id="R4f0af5c0f1524152" /><Relationship Type="http://schemas.openxmlformats.org/officeDocument/2006/relationships/sharedStrings" Target="/xl/sharedStrings.xml" Id="R364cb8d033f54628" /><Relationship Type="http://schemas.openxmlformats.org/officeDocument/2006/relationships/worksheet" Target="/xl/worksheets/sheet1.xml" Id="R4d97d851fa4749df" /><Relationship Type="http://schemas.openxmlformats.org/officeDocument/2006/relationships/worksheet" Target="/xl/worksheets/sheet2.xml" Id="R8cda02ba562b4a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8" hidden="0" customWidth="1"/>
    <x:col min="4" max="4" width="21" hidden="0" customWidth="1"/>
    <x:col min="5" max="5" width="17" hidden="0" customWidth="1"/>
    <x:col min="6" max="6" width="19" hidden="0" customWidth="1"/>
    <x:col min="7" max="7" width="31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CP PEIXOTO — CALCULADORA DE ORÇAMENTOS</x:v>
      </x:c>
      <x:c r="B2" s="3" t="str">
        <x:v>CP PEIXOTO — CALCULADORA DE ORÇAMENTOS</x:v>
      </x:c>
      <x:c r="C2" s="3" t="str">
        <x:v>CP PEIXOTO — CALCULADORA DE ORÇAMENTOS</x:v>
      </x:c>
      <x:c r="D2" s="3" t="str">
        <x:v>CP PEIXOTO — CALCULADORA DE ORÇAMENTOS</x:v>
      </x:c>
      <x:c r="E2" s="3" t="str">
        <x:v>CP PEIXOTO — CALCULADORA DE ORÇAMENTOS</x:v>
      </x:c>
      <x:c r="F2" s="3" t="str">
        <x:v>CP PEIXOTO — CALCULADORA DE ORÇAMENTOS</x:v>
      </x:c>
      <x:c r="G2" s="3" t="str">
        <x:v>CP PEIXOTO — CALCULADORA DE ORÇAMENTOS</x:v>
      </x:c>
      <x:c r="H2" s="3" t="str">
        <x:v>CP PEIXOTO — CALCULADORA DE ORÇAMENTOS</x:v>
      </x:c>
    </x:row>
    <x:row r="3">
      <x:c r="A3" s="4" t="str">
        <x:v>Preencha apenas as células amarelas. As células verdes e azuis são calculadas automaticamente.</x:v>
      </x:c>
      <x:c r="B3" s="4" t="str">
        <x:v>Preencha apenas as células amarelas. As células verdes e azuis são calculadas automaticamente.</x:v>
      </x:c>
      <x:c r="C3" s="4" t="str">
        <x:v>Preencha apenas as células amarelas. As células verdes e azuis são calculadas automaticamente.</x:v>
      </x:c>
      <x:c r="D3" s="4" t="str">
        <x:v>Preencha apenas as células amarelas. As células verdes e azuis são calculadas automaticamente.</x:v>
      </x:c>
      <x:c r="E3" s="4" t="str">
        <x:v>Preencha apenas as células amarelas. As células verdes e azuis são calculadas automaticamente.</x:v>
      </x:c>
      <x:c r="F3" s="4" t="str">
        <x:v>Preencha apenas as células amarelas. As células verdes e azuis são calculadas automaticamente.</x:v>
      </x:c>
      <x:c r="G3" s="4" t="str">
        <x:v>Preencha apenas as células amarelas. As células verdes e azuis são calculadas automaticamente.</x:v>
      </x:c>
      <x:c r="H3" s="4" t="str">
        <x:v>Preencha apenas as células amarelas. As células verdes e azuis são calculadas automaticamente.</x:v>
      </x:c>
    </x:row>
    <x:row r="4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7" t="str">
        <x:v>1. DADOS DA OBRA</x:v>
      </x:c>
      <x:c r="B5" s="8" t="str">
        <x:v>1. DADOS DA OBRA</x:v>
      </x:c>
      <x:c r="C5" s="8" t="str">
        <x:v>1. DADOS DA OBRA</x:v>
      </x:c>
      <x:c r="D5" s="8" t="str">
        <x:v>1. DADOS DA OBRA</x:v>
      </x:c>
      <x:c r="E5" s="8" t="str">
        <x:v>1. DADOS DA OBRA</x:v>
      </x:c>
      <x:c r="F5" s="8" t="str">
        <x:v>1. DADOS DA OBRA</x:v>
      </x:c>
      <x:c r="G5" s="8" t="str">
        <x:v>1. DADOS DA OBRA</x:v>
      </x:c>
      <x:c r="H5" s="9" t="str">
        <x:v>1. DADOS DA OBRA</x:v>
      </x:c>
    </x:row>
    <x:row r="6">
      <x:c r="A6" s="2" t="str">
        <x:v>Cliente</x:v>
      </x:c>
      <x:c r="B6" s="11" t="str"/>
      <x:c r="C6" s="2" t="str">
        <x:v>Local</x:v>
      </x:c>
      <x:c r="D6" s="11" t="str"/>
      <x:c r="E6" s="2" t="str">
        <x:v>Data</x:v>
      </x:c>
      <x:c r="F6" s="11"/>
      <x:c r="G6" s="2" t="str">
        <x:v>N.º orçamento</x:v>
      </x:c>
      <x:c r="H6" s="11" t="str"/>
    </x:row>
    <x:row r="7">
      <x:c r="A7" s="2" t="str">
        <x:v>Descrição</x:v>
      </x:c>
      <x:c r="B7" s="11" t="str">
        <x:v>Revestimento de pavimento</x:v>
      </x:c>
      <x:c r="C7" s="11"/>
      <x:c r="D7" s="11"/>
      <x:c r="E7" s="11"/>
      <x:c r="F7" s="11"/>
      <x:c r="G7" s="11"/>
      <x:c r="H7" s="11"/>
    </x:row>
    <x:row r="8">
      <x:c r="A8" s="2" t="str">
        <x:v>Área</x:v>
      </x:c>
      <x:c r="B8" s="12" t="n">
        <x:v>600</x:v>
      </x:c>
      <x:c r="C8" s="2" t="str">
        <x:v>Unidade</x:v>
      </x:c>
      <x:c r="D8" s="11" t="str">
        <x:v>m²</x:v>
      </x:c>
      <x:c r="E8" s="2" t="str">
        <x:v>Preço-hora</x:v>
      </x:c>
      <x:c r="F8" s="13" t="n">
        <x:v>52</x:v>
      </x:c>
      <x:c r="G8" s="2" t="str">
        <x:v>Margem de lucro desejada</x:v>
      </x:c>
      <x:c r="H8" s="14" t="n">
        <x:v>0.1069</x:v>
      </x:c>
    </x:row>
    <x:row r="9">
      <x:c r="A9" s="2"/>
      <x:c r="B9" s="2"/>
      <x:c r="C9" s="2"/>
      <x:c r="D9" s="2"/>
      <x:c r="E9" s="2"/>
      <x:c r="F9" s="2"/>
      <x:c r="G9" s="2"/>
      <x:c r="H9" s="2"/>
    </x:row>
    <x:row r="10" ht="22" customHeight="1">
      <x:c r="A10" s="7" t="str">
        <x:v>2. MATERIAIS</x:v>
      </x:c>
      <x:c r="B10" s="8" t="str">
        <x:v>2. MATERIAIS</x:v>
      </x:c>
      <x:c r="C10" s="8" t="str">
        <x:v>2. MATERIAIS</x:v>
      </x:c>
      <x:c r="D10" s="8" t="str">
        <x:v>2. MATERIAIS</x:v>
      </x:c>
      <x:c r="E10" s="8" t="str">
        <x:v>2. MATERIAIS</x:v>
      </x:c>
      <x:c r="F10" s="8" t="str">
        <x:v>2. MATERIAIS</x:v>
      </x:c>
      <x:c r="G10" s="8" t="str">
        <x:v>2. MATERIAIS</x:v>
      </x:c>
      <x:c r="H10" s="9" t="str">
        <x:v>2. MATERIAIS</x:v>
      </x:c>
    </x:row>
    <x:row r="11" ht="31" customHeight="1">
      <x:c r="A11" s="19" t="str">
        <x:v>Etapa</x:v>
      </x:c>
      <x:c r="B11" s="19" t="str">
        <x:v>Material</x:v>
      </x:c>
      <x:c r="C11" s="19" t="str">
        <x:v>Tipo</x:v>
      </x:c>
      <x:c r="D11" s="19" t="str">
        <x:v>Consumo / qtd.</x:v>
      </x:c>
      <x:c r="E11" s="19" t="str">
        <x:v>Unidade</x:v>
      </x:c>
      <x:c r="F11" s="19" t="str">
        <x:v>Preço unitário</x:v>
      </x:c>
      <x:c r="G11" s="19" t="str">
        <x:v>Área/fator</x:v>
      </x:c>
      <x:c r="H11" s="19" t="str">
        <x:v>Custo total</x:v>
      </x:c>
    </x:row>
    <x:row r="12">
      <x:c r="A12" s="21" t="str">
        <x:v>Primário</x:v>
      </x:c>
      <x:c r="B12" s="21" t="str">
        <x:v>Primário</x:v>
      </x:c>
      <x:c r="C12" s="21" t="str">
        <x:v>Por m²</x:v>
      </x:c>
      <x:c r="D12" s="22" t="n">
        <x:v>0.5</x:v>
      </x:c>
      <x:c r="E12" s="22" t="str">
        <x:v>kg/m²</x:v>
      </x:c>
      <x:c r="F12" s="22" t="n">
        <x:v>3.9</x:v>
      </x:c>
      <x:c r="G12" s="23" t="n">
        <x:f>IF(C12="Por m²",$B$8,1)</x:f>
        <x:v>600</x:v>
      </x:c>
      <x:c r="H12" s="23" t="n">
        <x:f>D12*F12*G12</x:f>
        <x:v>1170</x:v>
      </x:c>
    </x:row>
    <x:row r="13">
      <x:c r="A13" s="24" t="str">
        <x:v>Primário</x:v>
      </x:c>
      <x:c r="B13" s="24" t="str">
        <x:v>2.ª demão de primário</x:v>
      </x:c>
      <x:c r="C13" s="24" t="str">
        <x:v>Por m²</x:v>
      </x:c>
      <x:c r="D13" s="25" t="n">
        <x:v>0</x:v>
      </x:c>
      <x:c r="E13" s="25" t="str">
        <x:v>kg/m²</x:v>
      </x:c>
      <x:c r="F13" s="25" t="n">
        <x:v>3.9</x:v>
      </x:c>
      <x:c r="G13" s="26" t="n">
        <x:f>IF(C13="Por m²",$B$8,1)</x:f>
        <x:v>600</x:v>
      </x:c>
      <x:c r="H13" s="26" t="n">
        <x:f>D13*F13*G13</x:f>
        <x:v>0</x:v>
      </x:c>
    </x:row>
    <x:row r="14">
      <x:c r="A14" s="24" t="str">
        <x:v>Primário</x:v>
      </x:c>
      <x:c r="B14" s="24" t="str">
        <x:v>Areia</x:v>
      </x:c>
      <x:c r="C14" s="24" t="str">
        <x:v>Por m²</x:v>
      </x:c>
      <x:c r="D14" s="25" t="n">
        <x:v>2.5</x:v>
      </x:c>
      <x:c r="E14" s="25" t="str">
        <x:v>kg/m²</x:v>
      </x:c>
      <x:c r="F14" s="25" t="n">
        <x:v>0.35</x:v>
      </x:c>
      <x:c r="G14" s="26" t="n">
        <x:f>IF(C14="Por m²",$B$8,1)</x:f>
        <x:v>600</x:v>
      </x:c>
      <x:c r="H14" s="26" t="n">
        <x:f>D14*F14*G14</x:f>
        <x:v>525</x:v>
      </x:c>
    </x:row>
    <x:row r="15">
      <x:c r="A15" s="24" t="str">
        <x:v>Camada polvilhada</x:v>
      </x:c>
      <x:c r="B15" s="24" t="str">
        <x:v>Revestimento</x:v>
      </x:c>
      <x:c r="C15" s="24" t="str">
        <x:v>Por m²</x:v>
      </x:c>
      <x:c r="D15" s="25" t="n">
        <x:v>1.6</x:v>
      </x:c>
      <x:c r="E15" s="25" t="str">
        <x:v>kg/m²</x:v>
      </x:c>
      <x:c r="F15" s="25" t="n">
        <x:v>3.9</x:v>
      </x:c>
      <x:c r="G15" s="26" t="n">
        <x:f>IF(C15="Por m²",$B$8,1)</x:f>
        <x:v>600</x:v>
      </x:c>
      <x:c r="H15" s="26" t="n">
        <x:f>D15*F15*G15</x:f>
        <x:v>3744</x:v>
      </x:c>
    </x:row>
    <x:row r="16">
      <x:c r="A16" s="24" t="str">
        <x:v>Camada polvilhada</x:v>
      </x:c>
      <x:c r="B16" s="24" t="str">
        <x:v>Areia</x:v>
      </x:c>
      <x:c r="C16" s="24" t="str">
        <x:v>Por m²</x:v>
      </x:c>
      <x:c r="D16" s="25" t="n">
        <x:v>5</x:v>
      </x:c>
      <x:c r="E16" s="25" t="str">
        <x:v>kg/m²</x:v>
      </x:c>
      <x:c r="F16" s="25" t="n">
        <x:v>0.35</x:v>
      </x:c>
      <x:c r="G16" s="26" t="n">
        <x:f>IF(C16="Por m²",$B$8,1)</x:f>
        <x:v>600</x:v>
      </x:c>
      <x:c r="H16" s="26" t="n">
        <x:f>D16*F16*G16</x:f>
        <x:v>1050</x:v>
      </x:c>
    </x:row>
    <x:row r="17">
      <x:c r="A17" s="24" t="str">
        <x:v>Selagem final</x:v>
      </x:c>
      <x:c r="B17" s="24" t="str">
        <x:v>Selagem de topo</x:v>
      </x:c>
      <x:c r="C17" s="24" t="str">
        <x:v>Por m²</x:v>
      </x:c>
      <x:c r="D17" s="25" t="n">
        <x:v>0.9</x:v>
      </x:c>
      <x:c r="E17" s="25" t="str">
        <x:v>kg/m²</x:v>
      </x:c>
      <x:c r="F17" s="25" t="n">
        <x:v>4</x:v>
      </x:c>
      <x:c r="G17" s="26" t="n">
        <x:f>IF(C17="Por m²",$B$8,1)</x:f>
        <x:v>600</x:v>
      </x:c>
      <x:c r="H17" s="26" t="n">
        <x:f>D17*F17*G17</x:f>
        <x:v>2160</x:v>
      </x:c>
    </x:row>
    <x:row r="18">
      <x:c r="A18" s="24" t="str">
        <x:v>Outro</x:v>
      </x:c>
      <x:c r="B18" s="24" t="str"/>
      <x:c r="C18" s="24" t="str">
        <x:v>Fixo</x:v>
      </x:c>
      <x:c r="D18" s="25" t="n">
        <x:v>0</x:v>
      </x:c>
      <x:c r="E18" s="25" t="str">
        <x:v>un.</x:v>
      </x:c>
      <x:c r="F18" s="25" t="n">
        <x:v>0</x:v>
      </x:c>
      <x:c r="G18" s="26" t="n">
        <x:f>IF(C18="Por m²",$B$8,1)</x:f>
        <x:v>1</x:v>
      </x:c>
      <x:c r="H18" s="26" t="n">
        <x:f>D18*F18*G18</x:f>
        <x:v>0</x:v>
      </x:c>
    </x:row>
    <x:row r="19">
      <x:c r="A19" s="24" t="str">
        <x:v>Outro</x:v>
      </x:c>
      <x:c r="B19" s="24" t="str"/>
      <x:c r="C19" s="24" t="str">
        <x:v>Fixo</x:v>
      </x:c>
      <x:c r="D19" s="25" t="n">
        <x:v>0</x:v>
      </x:c>
      <x:c r="E19" s="25" t="str">
        <x:v>un.</x:v>
      </x:c>
      <x:c r="F19" s="25" t="n">
        <x:v>0</x:v>
      </x:c>
      <x:c r="G19" s="26" t="n">
        <x:f>IF(C19="Por m²",$B$8,1)</x:f>
        <x:v>1</x:v>
      </x:c>
      <x:c r="H19" s="26" t="n">
        <x:f>D19*F19*G19</x:f>
        <x:v>0</x:v>
      </x:c>
    </x:row>
    <x:row r="20">
      <x:c r="A20" s="28" t="str">
        <x:v>TOTAL DE MATERIAIS</x:v>
      </x:c>
      <x:c r="B20" s="28" t="str">
        <x:v>TOTAL DE MATERIAIS</x:v>
      </x:c>
      <x:c r="C20" s="28" t="str">
        <x:v>TOTAL DE MATERIAIS</x:v>
      </x:c>
      <x:c r="D20" s="28" t="str">
        <x:v>TOTAL DE MATERIAIS</x:v>
      </x:c>
      <x:c r="E20" s="28" t="str">
        <x:v>TOTAL DE MATERIAIS</x:v>
      </x:c>
      <x:c r="F20" s="28" t="str">
        <x:v>TOTAL DE MATERIAIS</x:v>
      </x:c>
      <x:c r="G20" s="28" t="str">
        <x:v>TOTAL DE MATERIAIS</x:v>
      </x:c>
      <x:c r="H20" s="29" t="n">
        <x:f>SUM(H12:H19)</x:f>
        <x:v>8649</x:v>
      </x:c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 ht="22" customHeight="1">
      <x:c r="A22" s="7" t="str">
        <x:v>3. HORAS E MÃO DE OBRA</x:v>
      </x:c>
      <x:c r="B22" s="8" t="str">
        <x:v>3. HORAS E MÃO DE OBRA</x:v>
      </x:c>
      <x:c r="C22" s="8" t="str">
        <x:v>3. HORAS E MÃO DE OBRA</x:v>
      </x:c>
      <x:c r="D22" s="8" t="str">
        <x:v>3. HORAS E MÃO DE OBRA</x:v>
      </x:c>
      <x:c r="E22" s="8" t="str">
        <x:v>3. HORAS E MÃO DE OBRA</x:v>
      </x:c>
      <x:c r="F22" s="8" t="str">
        <x:v>3. HORAS E MÃO DE OBRA</x:v>
      </x:c>
      <x:c r="G22" s="8" t="str">
        <x:v>3. HORAS E MÃO DE OBRA</x:v>
      </x:c>
      <x:c r="H22" s="9" t="str">
        <x:v>3. HORAS E MÃO DE OBRA</x:v>
      </x:c>
    </x:row>
    <x:row r="23" ht="31" customHeight="1">
      <x:c r="A23" s="19" t="str">
        <x:v>Dia/equipa</x:v>
      </x:c>
      <x:c r="B23" s="19" t="str">
        <x:v>N.º pessoas</x:v>
      </x:c>
      <x:c r="C23" s="19" t="str">
        <x:v>Trabalho h/pessoa</x:v>
      </x:c>
      <x:c r="D23" s="19" t="str">
        <x:v>Deslocação h/pessoa</x:v>
      </x:c>
      <x:c r="E23" s="19" t="str">
        <x:v>Total horas</x:v>
      </x:c>
      <x:c r="F23" s="19" t="str">
        <x:v>Preço/hora</x:v>
      </x:c>
      <x:c r="G23" s="19" t="str">
        <x:v>Custo total</x:v>
      </x:c>
      <x:c r="H23" s="19" t="str">
        <x:v>Nota</x:v>
      </x:c>
    </x:row>
    <x:row r="24">
      <x:c r="A24" s="21" t="str">
        <x:v>1.º dia</x:v>
      </x:c>
      <x:c r="B24" s="22" t="n">
        <x:v>1</x:v>
      </x:c>
      <x:c r="C24" s="22" t="n">
        <x:v>9</x:v>
      </x:c>
      <x:c r="D24" s="22" t="n">
        <x:v>1</x:v>
      </x:c>
      <x:c r="E24" s="23" t="n">
        <x:f>B24*(C24+D24)</x:f>
        <x:v>10</x:v>
      </x:c>
      <x:c r="F24" s="31" t="n">
        <x:f>$F$8</x:f>
        <x:v>52</x:v>
      </x:c>
      <x:c r="G24" s="31" t="n">
        <x:f>E24*F24</x:f>
        <x:v>520</x:v>
      </x:c>
      <x:c r="H24" s="21"/>
    </x:row>
    <x:row r="25">
      <x:c r="A25" s="24" t="str">
        <x:v>2.º dia</x:v>
      </x:c>
      <x:c r="B25" s="25" t="n">
        <x:v>1</x:v>
      </x:c>
      <x:c r="C25" s="25" t="n">
        <x:v>10</x:v>
      </x:c>
      <x:c r="D25" s="25" t="n">
        <x:v>2</x:v>
      </x:c>
      <x:c r="E25" s="26" t="n">
        <x:f>B25*(C25+D25)</x:f>
        <x:v>12</x:v>
      </x:c>
      <x:c r="F25" s="32" t="n">
        <x:f>$F$8</x:f>
        <x:v>52</x:v>
      </x:c>
      <x:c r="G25" s="32" t="n">
        <x:f>E25*F25</x:f>
        <x:v>624</x:v>
      </x:c>
      <x:c r="H25" s="24"/>
    </x:row>
    <x:row r="26">
      <x:c r="A26" s="24" t="str">
        <x:v>3.º dia</x:v>
      </x:c>
      <x:c r="B26" s="25" t="n">
        <x:v>1</x:v>
      </x:c>
      <x:c r="C26" s="25" t="n">
        <x:v>24</x:v>
      </x:c>
      <x:c r="D26" s="25" t="n">
        <x:v>3</x:v>
      </x:c>
      <x:c r="E26" s="26" t="n">
        <x:f>B26*(C26+D26)</x:f>
        <x:v>27</x:v>
      </x:c>
      <x:c r="F26" s="32" t="n">
        <x:f>$F$8</x:f>
        <x:v>52</x:v>
      </x:c>
      <x:c r="G26" s="32" t="n">
        <x:f>E26*F26</x:f>
        <x:v>1404</x:v>
      </x:c>
      <x:c r="H26" s="24"/>
    </x:row>
    <x:row r="27">
      <x:c r="A27" s="24" t="str">
        <x:v>4.º dia</x:v>
      </x:c>
      <x:c r="B27" s="25" t="n">
        <x:v>1</x:v>
      </x:c>
      <x:c r="C27" s="25" t="n">
        <x:v>30</x:v>
      </x:c>
      <x:c r="D27" s="25" t="n">
        <x:v>3</x:v>
      </x:c>
      <x:c r="E27" s="26" t="n">
        <x:f>B27*(C27+D27)</x:f>
        <x:v>33</x:v>
      </x:c>
      <x:c r="F27" s="32" t="n">
        <x:f>$F$8</x:f>
        <x:v>52</x:v>
      </x:c>
      <x:c r="G27" s="32" t="n">
        <x:f>E27*F27</x:f>
        <x:v>1716</x:v>
      </x:c>
      <x:c r="H27" s="24"/>
    </x:row>
    <x:row r="28">
      <x:c r="A28" s="24" t="str">
        <x:v>5.º dia</x:v>
      </x:c>
      <x:c r="B28" s="25" t="n">
        <x:v>0</x:v>
      </x:c>
      <x:c r="C28" s="25" t="n">
        <x:v>0</x:v>
      </x:c>
      <x:c r="D28" s="25" t="n">
        <x:v>0</x:v>
      </x:c>
      <x:c r="E28" s="26" t="n">
        <x:f>B28*(C28+D28)</x:f>
        <x:v>0</x:v>
      </x:c>
      <x:c r="F28" s="32" t="n">
        <x:f>$F$8</x:f>
        <x:v>52</x:v>
      </x:c>
      <x:c r="G28" s="32" t="n">
        <x:f>E28*F28</x:f>
        <x:v>0</x:v>
      </x:c>
      <x:c r="H28" s="24"/>
    </x:row>
    <x:row r="29">
      <x:c r="A29" s="24" t="str">
        <x:v>6.º dia</x:v>
      </x:c>
      <x:c r="B29" s="25" t="n">
        <x:v>0</x:v>
      </x:c>
      <x:c r="C29" s="25" t="n">
        <x:v>0</x:v>
      </x:c>
      <x:c r="D29" s="25" t="n">
        <x:v>0</x:v>
      </x:c>
      <x:c r="E29" s="26" t="n">
        <x:f>B29*(C29+D29)</x:f>
        <x:v>0</x:v>
      </x:c>
      <x:c r="F29" s="32" t="n">
        <x:f>$F$8</x:f>
        <x:v>52</x:v>
      </x:c>
      <x:c r="G29" s="32" t="n">
        <x:f>E29*F29</x:f>
        <x:v>0</x:v>
      </x:c>
      <x:c r="H29" s="24"/>
    </x:row>
    <x:row r="30">
      <x:c r="A30" s="24" t="str">
        <x:v>7.º dia</x:v>
      </x:c>
      <x:c r="B30" s="25" t="n">
        <x:v>0</x:v>
      </x:c>
      <x:c r="C30" s="25" t="n">
        <x:v>0</x:v>
      </x:c>
      <x:c r="D30" s="25" t="n">
        <x:v>0</x:v>
      </x:c>
      <x:c r="E30" s="26" t="n">
        <x:f>B30*(C30+D30)</x:f>
        <x:v>0</x:v>
      </x:c>
      <x:c r="F30" s="32" t="n">
        <x:f>$F$8</x:f>
        <x:v>52</x:v>
      </x:c>
      <x:c r="G30" s="32" t="n">
        <x:f>E30*F30</x:f>
        <x:v>0</x:v>
      </x:c>
      <x:c r="H30" s="24"/>
    </x:row>
    <x:row r="31">
      <x:c r="A31" s="24" t="str">
        <x:v>8.º dia</x:v>
      </x:c>
      <x:c r="B31" s="25" t="n">
        <x:v>0</x:v>
      </x:c>
      <x:c r="C31" s="25" t="n">
        <x:v>0</x:v>
      </x:c>
      <x:c r="D31" s="25" t="n">
        <x:v>0</x:v>
      </x:c>
      <x:c r="E31" s="26" t="n">
        <x:f>B31*(C31+D31)</x:f>
        <x:v>0</x:v>
      </x:c>
      <x:c r="F31" s="32" t="n">
        <x:f>$F$8</x:f>
        <x:v>52</x:v>
      </x:c>
      <x:c r="G31" s="32" t="n">
        <x:f>E31*F31</x:f>
        <x:v>0</x:v>
      </x:c>
      <x:c r="H31" s="24"/>
    </x:row>
    <x:row r="32">
      <x:c r="A32" s="28" t="str">
        <x:v>TOTAL DE MÃO DE OBRA</x:v>
      </x:c>
      <x:c r="B32" s="28" t="str">
        <x:v>TOTAL DE MÃO DE OBRA</x:v>
      </x:c>
      <x:c r="C32" s="28" t="str">
        <x:v>TOTAL DE MÃO DE OBRA</x:v>
      </x:c>
      <x:c r="D32" s="28" t="str">
        <x:v>TOTAL DE MÃO DE OBRA</x:v>
      </x:c>
      <x:c r="E32" s="33" t="n">
        <x:f>SUM(E24:E31)</x:f>
        <x:v>82</x:v>
      </x:c>
      <x:c r="F32" s="28" t="str">
        <x:v>Custo</x:v>
      </x:c>
      <x:c r="G32" s="29" t="n">
        <x:f>SUM(G24:G31)</x:f>
        <x:v>4264</x:v>
      </x:c>
      <x:c r="H32" s="28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 ht="22" customHeight="1">
      <x:c r="A34" s="7" t="str">
        <x:v>4. SUBEMPREITADAS</x:v>
      </x:c>
      <x:c r="B34" s="8" t="str">
        <x:v>4. SUBEMPREITADAS</x:v>
      </x:c>
      <x:c r="C34" s="8" t="str">
        <x:v>4. SUBEMPREITADAS</x:v>
      </x:c>
      <x:c r="D34" s="8" t="str">
        <x:v>4. SUBEMPREITADAS</x:v>
      </x:c>
      <x:c r="E34" s="8" t="str">
        <x:v>4. SUBEMPREITADAS</x:v>
      </x:c>
      <x:c r="F34" s="8" t="str">
        <x:v>4. SUBEMPREITADAS</x:v>
      </x:c>
      <x:c r="G34" s="8" t="str">
        <x:v>4. SUBEMPREITADAS</x:v>
      </x:c>
      <x:c r="H34" s="9" t="str">
        <x:v>4. SUBEMPREITADAS</x:v>
      </x:c>
    </x:row>
    <x:row r="35" ht="31" customHeight="1">
      <x:c r="A35" s="19" t="str">
        <x:v>Descrição</x:v>
      </x:c>
      <x:c r="B35" s="19" t="str">
        <x:v>Quantidade</x:v>
      </x:c>
      <x:c r="C35" s="19" t="str">
        <x:v>Unidade</x:v>
      </x:c>
      <x:c r="D35" s="19" t="str">
        <x:v>Preço unitário</x:v>
      </x:c>
      <x:c r="E35" s="19" t="str">
        <x:v>Total</x:v>
      </x:c>
      <x:c r="F35" s="2"/>
      <x:c r="G35" s="2"/>
      <x:c r="H35" s="2"/>
    </x:row>
    <x:row r="36">
      <x:c r="A36" s="21" t="str">
        <x:v>Granalhagem / preparação mecânica</x:v>
      </x:c>
      <x:c r="B36" s="22" t="n">
        <x:v>600</x:v>
      </x:c>
      <x:c r="C36" s="22" t="str">
        <x:v>m²</x:v>
      </x:c>
      <x:c r="D36" s="22" t="n">
        <x:v>2.2</x:v>
      </x:c>
      <x:c r="E36" s="23" t="n">
        <x:f>B36*D36</x:f>
        <x:v>1320</x:v>
      </x:c>
      <x:c r="F36" s="2"/>
      <x:c r="G36" s="2"/>
      <x:c r="H36" s="2"/>
    </x:row>
    <x:row r="37">
      <x:c r="A37" s="24" t="str">
        <x:v>Contentor de entulho</x:v>
      </x:c>
      <x:c r="B37" s="25" t="n">
        <x:v>1</x:v>
      </x:c>
      <x:c r="C37" s="25" t="str">
        <x:v>un.</x:v>
      </x:c>
      <x:c r="D37" s="25" t="n">
        <x:v>900</x:v>
      </x:c>
      <x:c r="E37" s="26" t="n">
        <x:f>B37*D37</x:f>
        <x:v>900</x:v>
      </x:c>
      <x:c r="F37" s="2"/>
      <x:c r="G37" s="2"/>
      <x:c r="H37" s="2"/>
    </x:row>
    <x:row r="38">
      <x:c r="A38" s="24" t="str"/>
      <x:c r="B38" s="25" t="n">
        <x:v>0</x:v>
      </x:c>
      <x:c r="C38" s="25" t="str">
        <x:v>un.</x:v>
      </x:c>
      <x:c r="D38" s="25" t="n">
        <x:v>0</x:v>
      </x:c>
      <x:c r="E38" s="26" t="n">
        <x:f>B38*D38</x:f>
        <x:v>0</x:v>
      </x:c>
      <x:c r="F38" s="2"/>
      <x:c r="G38" s="2"/>
      <x:c r="H38" s="2"/>
    </x:row>
    <x:row r="39">
      <x:c r="A39" s="24" t="str"/>
      <x:c r="B39" s="25" t="n">
        <x:v>0</x:v>
      </x:c>
      <x:c r="C39" s="25" t="str">
        <x:v>un.</x:v>
      </x:c>
      <x:c r="D39" s="25" t="n">
        <x:v>0</x:v>
      </x:c>
      <x:c r="E39" s="26" t="n">
        <x:f>B39*D39</x:f>
        <x:v>0</x:v>
      </x:c>
      <x:c r="F39" s="2"/>
      <x:c r="G39" s="2"/>
      <x:c r="H39" s="2"/>
    </x:row>
    <x:row r="40">
      <x:c r="A40" s="24" t="str"/>
      <x:c r="B40" s="25" t="n">
        <x:v>0</x:v>
      </x:c>
      <x:c r="C40" s="25" t="str">
        <x:v>un.</x:v>
      </x:c>
      <x:c r="D40" s="25" t="n">
        <x:v>0</x:v>
      </x:c>
      <x:c r="E40" s="26" t="n">
        <x:f>B40*D40</x:f>
        <x:v>0</x:v>
      </x:c>
      <x:c r="F40" s="2"/>
      <x:c r="G40" s="2"/>
      <x:c r="H40" s="2"/>
    </x:row>
    <x:row r="41">
      <x:c r="A41" s="28" t="str">
        <x:v>TOTAL DE SUBEMPREITADAS</x:v>
      </x:c>
      <x:c r="B41" s="28" t="str">
        <x:v>TOTAL DE SUBEMPREITADAS</x:v>
      </x:c>
      <x:c r="C41" s="28" t="str">
        <x:v>TOTAL DE SUBEMPREITADAS</x:v>
      </x:c>
      <x:c r="D41" s="28" t="str">
        <x:v>TOTAL DE SUBEMPREITADAS</x:v>
      </x:c>
      <x:c r="E41" s="29" t="n">
        <x:f>SUM(E36:E40)</x:f>
        <x:v>2220</x:v>
      </x:c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 ht="22" customHeight="1">
      <x:c r="A43" s="7" t="str">
        <x:v>5. VIATURA, EQUIPAMENTO E OUTROS CUSTOS</x:v>
      </x:c>
      <x:c r="B43" s="8" t="str">
        <x:v>5. VIATURA, EQUIPAMENTO E OUTROS CUSTOS</x:v>
      </x:c>
      <x:c r="C43" s="8" t="str">
        <x:v>5. VIATURA, EQUIPAMENTO E OUTROS CUSTOS</x:v>
      </x:c>
      <x:c r="D43" s="8" t="str">
        <x:v>5. VIATURA, EQUIPAMENTO E OUTROS CUSTOS</x:v>
      </x:c>
      <x:c r="E43" s="8" t="str">
        <x:v>5. VIATURA, EQUIPAMENTO E OUTROS CUSTOS</x:v>
      </x:c>
      <x:c r="F43" s="8" t="str">
        <x:v>5. VIATURA, EQUIPAMENTO E OUTROS CUSTOS</x:v>
      </x:c>
      <x:c r="G43" s="8" t="str">
        <x:v>5. VIATURA, EQUIPAMENTO E OUTROS CUSTOS</x:v>
      </x:c>
      <x:c r="H43" s="9" t="str">
        <x:v>5. VIATURA, EQUIPAMENTO E OUTROS CUSTOS</x:v>
      </x:c>
    </x:row>
    <x:row r="44" ht="31" customHeight="1">
      <x:c r="A44" s="19" t="str">
        <x:v>Descrição</x:v>
      </x:c>
      <x:c r="B44" s="19" t="str">
        <x:v>Quantidade</x:v>
      </x:c>
      <x:c r="C44" s="19" t="str">
        <x:v>Unidade</x:v>
      </x:c>
      <x:c r="D44" s="19" t="str">
        <x:v>Preço unitário</x:v>
      </x:c>
      <x:c r="E44" s="19" t="str">
        <x:v>Total</x:v>
      </x:c>
      <x:c r="F44" s="2"/>
      <x:c r="G44" s="2"/>
      <x:c r="H44" s="2"/>
    </x:row>
    <x:row r="45">
      <x:c r="A45" s="21" t="str">
        <x:v>Carrinha / bomba</x:v>
      </x:c>
      <x:c r="B45" s="22" t="n">
        <x:v>4</x:v>
      </x:c>
      <x:c r="C45" s="22" t="str">
        <x:v>dia/un.</x:v>
      </x:c>
      <x:c r="D45" s="22" t="n">
        <x:v>140</x:v>
      </x:c>
      <x:c r="E45" s="23" t="n">
        <x:f>B45*D45</x:f>
        <x:v>560</x:v>
      </x:c>
      <x:c r="F45" s="2"/>
      <x:c r="G45" s="2"/>
      <x:c r="H45" s="2"/>
    </x:row>
    <x:row r="46">
      <x:c r="A46" s="24" t="str"/>
      <x:c r="B46" s="25" t="n">
        <x:v>0</x:v>
      </x:c>
      <x:c r="C46" s="25" t="str">
        <x:v>un.</x:v>
      </x:c>
      <x:c r="D46" s="25" t="n">
        <x:v>0</x:v>
      </x:c>
      <x:c r="E46" s="26" t="n">
        <x:f>B46*D46</x:f>
        <x:v>0</x:v>
      </x:c>
      <x:c r="F46" s="2"/>
      <x:c r="G46" s="2"/>
      <x:c r="H46" s="2"/>
    </x:row>
    <x:row r="47">
      <x:c r="A47" s="24" t="str"/>
      <x:c r="B47" s="25" t="n">
        <x:v>0</x:v>
      </x:c>
      <x:c r="C47" s="25" t="str">
        <x:v>un.</x:v>
      </x:c>
      <x:c r="D47" s="25" t="n">
        <x:v>0</x:v>
      </x:c>
      <x:c r="E47" s="26" t="n">
        <x:f>B47*D47</x:f>
        <x:v>0</x:v>
      </x:c>
      <x:c r="F47" s="2"/>
      <x:c r="G47" s="2"/>
      <x:c r="H47" s="2"/>
    </x:row>
    <x:row r="48">
      <x:c r="A48" s="24" t="str"/>
      <x:c r="B48" s="25" t="n">
        <x:v>0</x:v>
      </x:c>
      <x:c r="C48" s="25" t="str">
        <x:v>un.</x:v>
      </x:c>
      <x:c r="D48" s="25" t="n">
        <x:v>0</x:v>
      </x:c>
      <x:c r="E48" s="26" t="n">
        <x:f>B48*D48</x:f>
        <x:v>0</x:v>
      </x:c>
      <x:c r="F48" s="2"/>
      <x:c r="G48" s="2"/>
      <x:c r="H48" s="2"/>
    </x:row>
    <x:row r="49">
      <x:c r="A49" s="24" t="str"/>
      <x:c r="B49" s="25" t="n">
        <x:v>0</x:v>
      </x:c>
      <x:c r="C49" s="25" t="str">
        <x:v>un.</x:v>
      </x:c>
      <x:c r="D49" s="25" t="n">
        <x:v>0</x:v>
      </x:c>
      <x:c r="E49" s="26" t="n">
        <x:f>B49*D49</x:f>
        <x:v>0</x:v>
      </x:c>
      <x:c r="F49" s="2"/>
      <x:c r="G49" s="2"/>
      <x:c r="H49" s="2"/>
    </x:row>
    <x:row r="50">
      <x:c r="A50" s="28" t="str">
        <x:v>TOTAL DE VIATURA/EQUIPAMENTO</x:v>
      </x:c>
      <x:c r="B50" s="28" t="str">
        <x:v>TOTAL DE VIATURA/EQUIPAMENTO</x:v>
      </x:c>
      <x:c r="C50" s="28" t="str">
        <x:v>TOTAL DE VIATURA/EQUIPAMENTO</x:v>
      </x:c>
      <x:c r="D50" s="28" t="str">
        <x:v>TOTAL DE VIATURA/EQUIPAMENTO</x:v>
      </x:c>
      <x:c r="E50" s="29" t="n">
        <x:f>SUM(E45:E49)</x:f>
        <x:v>560</x:v>
      </x:c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 ht="22" customHeight="1">
      <x:c r="A52" s="7" t="str">
        <x:v>6. CUSTOS DIRETOS</x:v>
      </x:c>
      <x:c r="B52" s="8" t="str">
        <x:v>6. CUSTOS DIRETOS</x:v>
      </x:c>
      <x:c r="C52" s="8" t="str">
        <x:v>6. CUSTOS DIRETOS</x:v>
      </x:c>
      <x:c r="D52" s="8" t="str">
        <x:v>6. CUSTOS DIRETOS</x:v>
      </x:c>
      <x:c r="E52" s="8" t="str">
        <x:v>6. CUSTOS DIRETOS</x:v>
      </x:c>
      <x:c r="F52" s="8" t="str">
        <x:v>6. CUSTOS DIRETOS</x:v>
      </x:c>
      <x:c r="G52" s="8" t="str">
        <x:v>6. CUSTOS DIRETOS</x:v>
      </x:c>
      <x:c r="H52" s="9" t="str">
        <x:v>6. CUSTOS DIRETOS</x:v>
      </x:c>
    </x:row>
    <x:row r="53">
      <x:c r="A53" s="34" t="str">
        <x:v>Materiais</x:v>
      </x:c>
      <x:c r="B53" s="34"/>
      <x:c r="C53" s="34"/>
      <x:c r="D53" s="34"/>
      <x:c r="E53" s="34"/>
      <x:c r="F53" s="34"/>
      <x:c r="G53" s="34"/>
      <x:c r="H53" s="31" t="n">
        <x:f>$H$20</x:f>
        <x:v>8649</x:v>
      </x:c>
    </x:row>
    <x:row r="54">
      <x:c r="A54" s="35" t="str">
        <x:v>Mão de obra</x:v>
      </x:c>
      <x:c r="B54" s="35"/>
      <x:c r="C54" s="35"/>
      <x:c r="D54" s="35"/>
      <x:c r="E54" s="35"/>
      <x:c r="F54" s="35"/>
      <x:c r="G54" s="35"/>
      <x:c r="H54" s="32" t="n">
        <x:f>$G$32</x:f>
        <x:v>4264</x:v>
      </x:c>
    </x:row>
    <x:row r="55">
      <x:c r="A55" s="35" t="str">
        <x:v>Subempreitadas</x:v>
      </x:c>
      <x:c r="B55" s="35"/>
      <x:c r="C55" s="35"/>
      <x:c r="D55" s="35"/>
      <x:c r="E55" s="35"/>
      <x:c r="F55" s="35"/>
      <x:c r="G55" s="35"/>
      <x:c r="H55" s="32" t="n">
        <x:f>$E$41</x:f>
        <x:v>2220</x:v>
      </x:c>
    </x:row>
    <x:row r="56">
      <x:c r="A56" s="35" t="str">
        <x:v>Viatura/equipamento</x:v>
      </x:c>
      <x:c r="B56" s="35"/>
      <x:c r="C56" s="35"/>
      <x:c r="D56" s="35"/>
      <x:c r="E56" s="35"/>
      <x:c r="F56" s="35"/>
      <x:c r="G56" s="35"/>
      <x:c r="H56" s="32" t="n">
        <x:f>$E$50</x:f>
        <x:v>560</x:v>
      </x:c>
    </x:row>
    <x:row r="57">
      <x:c r="A57" s="37" t="str">
        <x:v>TOTAL DE CUSTOS DIRETOS</x:v>
      </x:c>
      <x:c r="B57" s="37" t="str">
        <x:v>TOTAL DE CUSTOS DIRETOS</x:v>
      </x:c>
      <x:c r="C57" s="37" t="str">
        <x:v>TOTAL DE CUSTOS DIRETOS</x:v>
      </x:c>
      <x:c r="D57" s="37" t="str">
        <x:v>TOTAL DE CUSTOS DIRETOS</x:v>
      </x:c>
      <x:c r="E57" s="37" t="str">
        <x:v>TOTAL DE CUSTOS DIRETOS</x:v>
      </x:c>
      <x:c r="F57" s="37" t="str">
        <x:v>TOTAL DE CUSTOS DIRETOS</x:v>
      </x:c>
      <x:c r="G57" s="37" t="str">
        <x:v>TOTAL DE CUSTOS DIRETOS</x:v>
      </x:c>
      <x:c r="H57" s="38" t="n">
        <x:f>SUM(H53:H56)</x:f>
        <x:v>15693</x:v>
      </x:c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 ht="22" customHeight="1">
      <x:c r="A59" s="7" t="str">
        <x:v>7. ACRÉSCIMOS / CUSTOS INDIRETOS</x:v>
      </x:c>
      <x:c r="B59" s="8" t="str">
        <x:v>7. ACRÉSCIMOS / CUSTOS INDIRETOS</x:v>
      </x:c>
      <x:c r="C59" s="8" t="str">
        <x:v>7. ACRÉSCIMOS / CUSTOS INDIRETOS</x:v>
      </x:c>
      <x:c r="D59" s="8" t="str">
        <x:v>7. ACRÉSCIMOS / CUSTOS INDIRETOS</x:v>
      </x:c>
      <x:c r="E59" s="8" t="str">
        <x:v>7. ACRÉSCIMOS / CUSTOS INDIRETOS</x:v>
      </x:c>
      <x:c r="F59" s="8" t="str">
        <x:v>7. ACRÉSCIMOS / CUSTOS INDIRETOS</x:v>
      </x:c>
      <x:c r="G59" s="8" t="str">
        <x:v>7. ACRÉSCIMOS / CUSTOS INDIRETOS</x:v>
      </x:c>
      <x:c r="H59" s="9" t="str">
        <x:v>7. ACRÉSCIMOS / CUSTOS INDIRETOS</x:v>
      </x:c>
    </x:row>
    <x:row r="60" ht="31" customHeight="1">
      <x:c r="A60" s="19" t="str">
        <x:v>Acréscimo</x:v>
      </x:c>
      <x:c r="B60" s="19" t="str">
        <x:v>Base escolhida</x:v>
      </x:c>
      <x:c r="C60" s="19"/>
      <x:c r="D60" s="19" t="str">
        <x:v>Base calculada</x:v>
      </x:c>
      <x:c r="E60" s="19" t="str">
        <x:v>Taxa</x:v>
      </x:c>
      <x:c r="F60" s="19" t="str">
        <x:v>Montante</x:v>
      </x:c>
      <x:c r="G60" s="19" t="str">
        <x:v>Explicação</x:v>
      </x:c>
      <x:c r="H60" s="2"/>
    </x:row>
    <x:row r="61">
      <x:c r="A61" s="34" t="str">
        <x:v>Subempreitada</x:v>
      </x:c>
      <x:c r="B61" s="21" t="str">
        <x:v>Subempreitadas</x:v>
      </x:c>
      <x:c r="C61" s="21"/>
      <x:c r="D61" s="40" t="n">
        <x:f>IF(B61="Subempreitadas",$E$41,IF(B61="Materiais",$H$20,IF(B61="Mão de obra",$G$32,IF(B61="Viatura/equipamento",$E$50,IF(B61="Mão de obra + viatura",$G$32+$E$50,IF(B61="Custos diretos",$H$57,$H$57))))))</x:f>
        <x:v>2220</x:v>
      </x:c>
      <x:c r="E61" s="41" t="n">
        <x:v>0.08</x:v>
      </x:c>
      <x:c r="F61" s="40" t="n">
        <x:f>D61*E61</x:f>
        <x:v>177.6</x:v>
      </x:c>
      <x:c r="G61" s="34" t="str">
        <x:v>8% sobre serviços externos</x:v>
      </x:c>
      <x:c r="H61" s="2"/>
    </x:row>
    <x:row r="62">
      <x:c r="A62" s="35" t="str">
        <x:v>Direção/condução da obra</x:v>
      </x:c>
      <x:c r="B62" s="24" t="str">
        <x:v>Mão de obra</x:v>
      </x:c>
      <x:c r="C62" s="24"/>
      <x:c r="D62" s="42" t="n">
        <x:f>IF(B62="Subempreitadas",$E$41,IF(B62="Materiais",$H$20,IF(B62="Mão de obra",$G$32,IF(B62="Viatura/equipamento",$E$50,IF(B62="Mão de obra + viatura",$G$32+$E$50,IF(B62="Custos diretos",$H$57,$H$57+SUM($F$61:F61)))))))</x:f>
        <x:v>4264</x:v>
      </x:c>
      <x:c r="E62" s="43" t="n">
        <x:v>0.27</x:v>
      </x:c>
      <x:c r="F62" s="42" t="n">
        <x:f>D62*E62</x:f>
        <x:v>1151.28</x:v>
      </x:c>
      <x:c r="G62" s="35" t="str">
        <x:v>Base editável através da lista</x:v>
      </x:c>
      <x:c r="H62" s="2"/>
    </x:row>
    <x:row r="63">
      <x:c r="A63" s="35" t="str">
        <x:v>Oficina/estaleiro</x:v>
      </x:c>
      <x:c r="B63" s="24" t="str">
        <x:v>Custos diretos</x:v>
      </x:c>
      <x:c r="C63" s="24"/>
      <x:c r="D63" s="42" t="n">
        <x:f>IF(B63="Subempreitadas",$E$41,IF(B63="Materiais",$H$20,IF(B63="Mão de obra",$G$32,IF(B63="Viatura/equipamento",$E$50,IF(B63="Mão de obra + viatura",$G$32+$E$50,IF(B63="Custos diretos",$H$57,$H$57+SUM($F$61:F62)))))))</x:f>
        <x:v>15693</x:v>
      </x:c>
      <x:c r="E63" s="43" t="n">
        <x:v>0.03</x:v>
      </x:c>
      <x:c r="F63" s="42" t="n">
        <x:f>D63*E63</x:f>
        <x:v>470.78999999999996</x:v>
      </x:c>
      <x:c r="G63" s="35" t="str">
        <x:v>Base editável através da lista</x:v>
      </x:c>
      <x:c r="H63" s="2"/>
    </x:row>
    <x:row r="64">
      <x:c r="A64" s="35" t="str">
        <x:v>Administração</x:v>
      </x:c>
      <x:c r="B64" s="24" t="str">
        <x:v>Custos diretos + acréscimos anteriores</x:v>
      </x:c>
      <x:c r="C64" s="24"/>
      <x:c r="D64" s="42" t="n">
        <x:f>IF(B64="Subempreitadas",$E$41,IF(B64="Materiais",$H$20,IF(B64="Mão de obra",$G$32,IF(B64="Viatura/equipamento",$E$50,IF(B64="Mão de obra + viatura",$G$32+$E$50,IF(B64="Custos diretos",$H$57,$H$57+SUM($F$61:F63)))))))</x:f>
        <x:v>17492.67</x:v>
      </x:c>
      <x:c r="E64" s="43" t="n">
        <x:v>0.12</x:v>
      </x:c>
      <x:c r="F64" s="42" t="n">
        <x:f>D64*E64</x:f>
        <x:v>2099.1204</x:v>
      </x:c>
      <x:c r="G64" s="35" t="str">
        <x:v>Inclui acréscimos anteriores</x:v>
      </x:c>
      <x:c r="H64" s="2"/>
    </x:row>
    <x:row r="65">
      <x:c r="A65" s="28" t="str">
        <x:v>TOTAL DE ACRÉSCIMOS</x:v>
      </x:c>
      <x:c r="B65" s="28" t="str">
        <x:v>TOTAL DE ACRÉSCIMOS</x:v>
      </x:c>
      <x:c r="C65" s="28" t="str">
        <x:v>TOTAL DE ACRÉSCIMOS</x:v>
      </x:c>
      <x:c r="D65" s="28" t="str">
        <x:v>TOTAL DE ACRÉSCIMOS</x:v>
      </x:c>
      <x:c r="E65" s="28" t="str">
        <x:v>TOTAL DE ACRÉSCIMOS</x:v>
      </x:c>
      <x:c r="F65" s="29" t="n">
        <x:f>SUM(F61:F64)</x:f>
        <x:v>3898.7904</x:v>
      </x:c>
      <x:c r="G65" s="2"/>
      <x:c r="H65" s="2"/>
    </x:row>
    <x:row r="66">
      <x:c r="A66" s="6" t="str">
        <x:v>CUSTO TOTAL DA OBRA</x:v>
      </x:c>
      <x:c r="B66" s="6" t="str">
        <x:v>CUSTO TOTAL DA OBRA</x:v>
      </x:c>
      <x:c r="C66" s="6" t="str">
        <x:v>CUSTO TOTAL DA OBRA</x:v>
      </x:c>
      <x:c r="D66" s="6" t="str">
        <x:v>CUSTO TOTAL DA OBRA</x:v>
      </x:c>
      <x:c r="E66" s="6" t="str">
        <x:v>CUSTO TOTAL DA OBRA</x:v>
      </x:c>
      <x:c r="F66" s="45" t="n">
        <x:f>$H$57+F65</x:f>
        <x:v>19591.790399999998</x:v>
      </x:c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 ht="22" customHeight="1">
      <x:c r="A68" s="7" t="str">
        <x:v>8. PREÇO DE VENDA E RENTABILIDADE</x:v>
      </x:c>
      <x:c r="B68" s="8" t="str">
        <x:v>8. PREÇO DE VENDA E RENTABILIDADE</x:v>
      </x:c>
      <x:c r="C68" s="8" t="str">
        <x:v>8. PREÇO DE VENDA E RENTABILIDADE</x:v>
      </x:c>
      <x:c r="D68" s="8" t="str">
        <x:v>8. PREÇO DE VENDA E RENTABILIDADE</x:v>
      </x:c>
      <x:c r="E68" s="8" t="str">
        <x:v>8. PREÇO DE VENDA E RENTABILIDADE</x:v>
      </x:c>
      <x:c r="F68" s="8" t="str">
        <x:v>8. PREÇO DE VENDA E RENTABILIDADE</x:v>
      </x:c>
      <x:c r="G68" s="8" t="str">
        <x:v>8. PREÇO DE VENDA E RENTABILIDADE</x:v>
      </x:c>
      <x:c r="H68" s="9" t="str">
        <x:v>8. PREÇO DE VENDA E RENTABILIDADE</x:v>
      </x:c>
    </x:row>
    <x:row r="69" ht="31" customHeight="1">
      <x:c r="A69" s="19" t="str">
        <x:v>Parâmetro</x:v>
      </x:c>
      <x:c r="B69" s="19" t="str">
        <x:v>Valor</x:v>
      </x:c>
      <x:c r="C69" s="19" t="str">
        <x:v>Resultado</x:v>
      </x:c>
      <x:c r="D69" s="19" t="str">
        <x:v>Valor calculado</x:v>
      </x:c>
      <x:c r="E69" s="2"/>
      <x:c r="F69" s="19" t="str">
        <x:v>Indicador</x:v>
      </x:c>
      <x:c r="G69" s="19"/>
      <x:c r="H69" s="19" t="str">
        <x:v>Resultado</x:v>
      </x:c>
    </x:row>
    <x:row r="70">
      <x:c r="A70" s="34" t="str">
        <x:v>Margem de lucro desejada</x:v>
      </x:c>
      <x:c r="B70" s="49" t="n">
        <x:f>$H$8</x:f>
        <x:v>0.1069</x:v>
      </x:c>
      <x:c r="C70" s="2"/>
      <x:c r="D70" s="2"/>
      <x:c r="E70" s="2"/>
      <x:c r="F70" s="53" t="str">
        <x:v>Custo direto</x:v>
      </x:c>
      <x:c r="G70" s="53"/>
      <x:c r="H70" s="40" t="n">
        <x:f>$H$57</x:f>
        <x:v>15693</x:v>
      </x:c>
    </x:row>
    <x:row r="71">
      <x:c r="A71" s="35" t="str">
        <x:v>Desconto comercial</x:v>
      </x:c>
      <x:c r="B71" s="43" t="n">
        <x:v>0.02</x:v>
      </x:c>
      <x:c r="C71" s="2"/>
      <x:c r="D71" s="2"/>
      <x:c r="E71" s="2"/>
      <x:c r="F71" s="54" t="str">
        <x:v>Custo total</x:v>
      </x:c>
      <x:c r="G71" s="54"/>
      <x:c r="H71" s="42" t="n">
        <x:f>$F$66</x:f>
        <x:v>19591.790399999998</x:v>
      </x:c>
    </x:row>
    <x:row r="72">
      <x:c r="A72" s="35" t="str">
        <x:v>Skonto / pronto pagamento</x:v>
      </x:c>
      <x:c r="B72" s="43" t="n">
        <x:v>0.02</x:v>
      </x:c>
      <x:c r="C72" s="2"/>
      <x:c r="D72" s="2"/>
      <x:c r="E72" s="2"/>
      <x:c r="F72" s="54" t="str">
        <x:v>Preço líquido por m²</x:v>
      </x:c>
      <x:c r="G72" s="54"/>
      <x:c r="H72" s="42" t="n">
        <x:f>IF($B$8=0,0,$B$77/$B$8)</x:f>
        <x:v>35.99099</x:v>
      </x:c>
    </x:row>
    <x:row r="73">
      <x:c r="A73" s="35" t="str">
        <x:v>Outras deduções fixas</x:v>
      </x:c>
      <x:c r="B73" s="50" t="n">
        <x:v>0</x:v>
      </x:c>
      <x:c r="C73" s="2"/>
      <x:c r="D73" s="2"/>
      <x:c r="E73" s="2"/>
      <x:c r="F73" s="54" t="str">
        <x:v>Lucro por m²</x:v>
      </x:c>
      <x:c r="G73" s="54"/>
      <x:c r="H73" s="42" t="n">
        <x:f>IF($B$8=0,0,$B$78/$B$8)</x:f>
        <x:v>3.3380059999999987</x:v>
      </x:c>
    </x:row>
    <x:row r="74">
      <x:c r="A74" s="35" t="str">
        <x:v>Preço bruto recomendado</x:v>
      </x:c>
      <x:c r="B74" s="42" t="n">
        <x:f>IF(OR(B70&gt;=1,B71&gt;=1,B72&gt;=1),0,$F$66/(1-B70)/(1-B71)/(1-B72))</x:f>
        <x:v>22841.35613072428</x:v>
      </x:c>
      <x:c r="C74" s="2"/>
      <x:c r="D74" s="2"/>
      <x:c r="E74" s="2"/>
      <x:c r="F74" s="54" t="str">
        <x:v>Horas totais</x:v>
      </x:c>
      <x:c r="G74" s="54"/>
      <x:c r="H74" s="55" t="n">
        <x:f>$E$32</x:f>
        <x:v>82</x:v>
      </x:c>
    </x:row>
    <x:row r="75">
      <x:c r="A75" s="35" t="str">
        <x:v>Preço bruto manual (opcional)</x:v>
      </x:c>
      <x:c r="B75" s="51" t="n">
        <x:v>22485</x:v>
      </x:c>
      <x:c r="C75" s="2"/>
      <x:c r="D75" s="2"/>
      <x:c r="E75" s="2"/>
      <x:c r="F75" s="54" t="str">
        <x:v>Faturação líquida por hora</x:v>
      </x:c>
      <x:c r="G75" s="54"/>
      <x:c r="H75" s="42" t="n">
        <x:f>IF($E$32=0,0,$B$77/$E$32)</x:f>
        <x:v>263.34870731707315</x:v>
      </x:c>
    </x:row>
    <x:row r="76">
      <x:c r="A76" s="35" t="str">
        <x:v>PREÇO BRUTO UTILIZADO</x:v>
      </x:c>
      <x:c r="B76" s="42" t="n">
        <x:f>IF(B75="",B74,B75)</x:f>
        <x:v>22485</x:v>
      </x:c>
      <x:c r="C76" s="2"/>
      <x:c r="D76" s="2"/>
      <x:c r="E76" s="2"/>
      <x:c r="F76" s="2"/>
      <x:c r="G76" s="2"/>
      <x:c r="H76" s="2"/>
    </x:row>
    <x:row r="77">
      <x:c r="A77" s="35" t="str">
        <x:v>VALOR LÍQUIDO</x:v>
      </x:c>
      <x:c r="B77" s="42" t="n">
        <x:f>B76*(1-B71)*(1-B72)-B73</x:f>
        <x:v>21594.593999999997</x:v>
      </x:c>
      <x:c r="C77" s="2"/>
      <x:c r="D77" s="2"/>
      <x:c r="E77" s="2"/>
      <x:c r="F77" s="2"/>
      <x:c r="G77" s="2"/>
      <x:c r="H77" s="2"/>
    </x:row>
    <x:row r="78">
      <x:c r="A78" s="35" t="str">
        <x:v>LUCRO ESTIMADO</x:v>
      </x:c>
      <x:c r="B78" s="42" t="n">
        <x:f>B77-$F$66</x:f>
        <x:v>2002.8035999999993</x:v>
      </x:c>
      <x:c r="C78" s="2"/>
      <x:c r="D78" s="2"/>
      <x:c r="E78" s="2"/>
      <x:c r="F78" s="2"/>
      <x:c r="G78" s="2"/>
      <x:c r="H78" s="2"/>
    </x:row>
    <x:row r="79">
      <x:c r="A79" s="35" t="str">
        <x:v>MARGEM REAL</x:v>
      </x:c>
      <x:c r="B79" s="52" t="n">
        <x:f>IF(B77=0,0,B78/B77)</x:f>
        <x:v>0.09274560105181878</x:v>
      </x:c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 ht="38" customHeight="1">
      <x:c r="A82" s="58" t="str">
        <x:v>ATENÇÃO: o preço bruto manual está preenchido com 22.485 CHF apenas como exemplo do orçamento de Zofingen. Apague esse valor para usar automaticamente o preço recomendado calculado pela margem desejada.</x:v>
      </x:c>
      <x:c r="B82" s="58" t="str">
        <x:v>ATENÇÃO: o preço bruto manual está preenchido com 22.485 CHF apenas como exemplo do orçamento de Zofingen. Apague esse valor para usar automaticamente o preço recomendado calculado pela margem desejada.</x:v>
      </x:c>
      <x:c r="C82" s="58" t="str">
        <x:v>ATENÇÃO: o preço bruto manual está preenchido com 22.485 CHF apenas como exemplo do orçamento de Zofingen. Apague esse valor para usar automaticamente o preço recomendado calculado pela margem desejada.</x:v>
      </x:c>
      <x:c r="D82" s="58" t="str">
        <x:v>ATENÇÃO: o preço bruto manual está preenchido com 22.485 CHF apenas como exemplo do orçamento de Zofingen. Apague esse valor para usar automaticamente o preço recomendado calculado pela margem desejada.</x:v>
      </x:c>
      <x:c r="E82" s="58" t="str">
        <x:v>ATENÇÃO: o preço bruto manual está preenchido com 22.485 CHF apenas como exemplo do orçamento de Zofingen. Apague esse valor para usar automaticamente o preço recomendado calculado pela margem desejada.</x:v>
      </x:c>
      <x:c r="F82" s="58" t="str">
        <x:v>ATENÇÃO: o preço bruto manual está preenchido com 22.485 CHF apenas como exemplo do orçamento de Zofingen. Apague esse valor para usar automaticamente o preço recomendado calculado pela margem desejada.</x:v>
      </x:c>
      <x:c r="G82" s="58" t="str">
        <x:v>ATENÇÃO: o preço bruto manual está preenchido com 22.485 CHF apenas como exemplo do orçamento de Zofingen. Apague esse valor para usar automaticamente o preço recomendado calculado pela margem desejada.</x:v>
      </x:c>
      <x:c r="H82" s="58" t="str">
        <x:v>ATENÇÃO: o preço bruto manual está preenchido com 22.485 CHF apenas como exemplo do orçamento de Zofingen. Apague esse valor para usar automaticamente o preço recomendado calculado pela margem desejada.</x:v>
      </x:c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</x:sheetData>
  <x:mergeCells>
    <x:mergeCell ref="A2:H2"/>
    <x:mergeCell ref="A3:H3"/>
    <x:mergeCell ref="A5:H5"/>
    <x:mergeCell ref="B7:H7"/>
    <x:mergeCell ref="A10:H10"/>
    <x:mergeCell ref="A20:G20"/>
    <x:mergeCell ref="A22:H22"/>
    <x:mergeCell ref="A32:D32"/>
    <x:mergeCell ref="A34:H34"/>
    <x:mergeCell ref="A41:D41"/>
    <x:mergeCell ref="A43:H43"/>
    <x:mergeCell ref="A50:D50"/>
    <x:mergeCell ref="A52:H52"/>
    <x:mergeCell ref="A57:G57"/>
    <x:mergeCell ref="A59:H59"/>
    <x:mergeCell ref="B60:C60"/>
    <x:mergeCell ref="B61:C61"/>
    <x:mergeCell ref="B62:C62"/>
    <x:mergeCell ref="B63:C63"/>
    <x:mergeCell ref="B64:C64"/>
    <x:mergeCell ref="A65:E65"/>
    <x:mergeCell ref="A66:E66"/>
    <x:mergeCell ref="A68:H68"/>
    <x:mergeCell ref="F69:G69"/>
    <x:mergeCell ref="F70:G70"/>
    <x:mergeCell ref="F71:G71"/>
    <x:mergeCell ref="F72:G72"/>
    <x:mergeCell ref="F73:G73"/>
    <x:mergeCell ref="F74:G74"/>
    <x:mergeCell ref="F75:G75"/>
    <x:mergeCell ref="A82:H82"/>
  </x:mergeCells>
  <x:dataValidations count="2">
    <x:dataValidation type="list" sqref="C12:C19">
      <x:formula1>"Por m²,Fixo"</x:formula1>
    </x:dataValidation>
    <x:dataValidation type="list" sqref="B61:C64">
      <x:formula1>"Subempreitadas,Materiais,Mão de obra,Viatura/equipamento,Mão de obra + viatura,Custos diretos,Custos diretos + acréscimos anteriores"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A441"/>
  </x:sheetPr>
  <x:sheetViews>
    <x:sheetView showGridLines="0" workbookViewId="0"/>
  </x:sheetViews>
  <x:sheetFormatPr defaultRowHeight="15"/>
  <x:cols>
    <x:col min="1" max="1" width="13" hidden="0" customWidth="1"/>
    <x:col min="2" max="2" width="37" hidden="0" customWidth="1"/>
    <x:col min="3" max="3" width="24" hidden="0" customWidth="1"/>
    <x:col min="4" max="4" width="58" hidden="0" customWidth="1"/>
  </x:cols>
  <x:sheetData>
    <x:row r="1">
      <x:c r="A1" s="2"/>
      <x:c r="B1" s="2"/>
      <x:c r="C1" s="2"/>
      <x:c r="D1" s="2"/>
    </x:row>
    <x:row r="2" ht="27" customHeight="1">
      <x:c r="A2" s="3" t="str">
        <x:v>COMO UTILIZAR A CALCULADORA</x:v>
      </x:c>
      <x:c r="B2" s="3" t="str">
        <x:v>COMO UTILIZAR A CALCULADORA</x:v>
      </x:c>
      <x:c r="C2" s="3" t="str">
        <x:v>COMO UTILIZAR A CALCULADORA</x:v>
      </x:c>
      <x:c r="D2" s="3" t="str">
        <x:v>COMO UTILIZAR A CALCULADORA</x:v>
      </x:c>
    </x:row>
    <x:row r="3">
      <x:c r="A3" s="2"/>
      <x:c r="B3" s="2"/>
      <x:c r="C3" s="2"/>
      <x:c r="D3" s="2"/>
    </x:row>
    <x:row r="4" ht="31" customHeight="1">
      <x:c r="A4" s="19" t="str">
        <x:v>Passo</x:v>
      </x:c>
      <x:c r="B4" s="19" t="str">
        <x:v>O que preencher</x:v>
      </x:c>
      <x:c r="C4" s="19" t="str">
        <x:v>Onde</x:v>
      </x:c>
      <x:c r="D4" s="19" t="str">
        <x:v>Nota</x:v>
      </x:c>
    </x:row>
    <x:row r="5" ht="15" hidden="0" customHeight="1">
      <x:c r="A5" s="61" t="n">
        <x:v>1</x:v>
      </x:c>
      <x:c r="B5" s="62" t="str">
        <x:v>Dados do cliente, local e descrição</x:v>
      </x:c>
      <x:c r="C5" s="62" t="str">
        <x:v>Linhas 6–8</x:v>
      </x:c>
      <x:c r="D5" s="62" t="str">
        <x:v>Campos amarelos</x:v>
      </x:c>
    </x:row>
    <x:row r="6" ht="15" hidden="0" customHeight="1">
      <x:c r="A6" s="63" t="n">
        <x:v>2</x:v>
      </x:c>
      <x:c r="B6" s="64" t="str">
        <x:v>Área total da obra em m²</x:v>
      </x:c>
      <x:c r="C6" s="64" t="str">
        <x:v>B8</x:v>
      </x:c>
      <x:c r="D6" s="64" t="str">
        <x:v>Todos os materiais do tipo «Por m²» usam esta área</x:v>
      </x:c>
    </x:row>
    <x:row r="7" ht="15" hidden="0" customHeight="1">
      <x:c r="A7" s="63" t="n">
        <x:v>3</x:v>
      </x:c>
      <x:c r="B7" s="64" t="str">
        <x:v>Consumo e preço dos materiais</x:v>
      </x:c>
      <x:c r="C7" s="64" t="str">
        <x:v>Linhas 12–19</x:v>
      </x:c>
      <x:c r="D7" s="64" t="str">
        <x:v>Escolha «Por m²» ou «Fixo»</x:v>
      </x:c>
    </x:row>
    <x:row r="8" ht="15" hidden="0" customHeight="1">
      <x:c r="A8" s="63" t="n">
        <x:v>4</x:v>
      </x:c>
      <x:c r="B8" s="64" t="str">
        <x:v>Pessoas, horas de trabalho e deslocação</x:v>
      </x:c>
      <x:c r="C8" s="64" t="str">
        <x:v>Linhas 24–31</x:v>
      </x:c>
      <x:c r="D8" s="64" t="str">
        <x:v>As horas e o custo são somados automaticamente</x:v>
      </x:c>
    </x:row>
    <x:row r="9" ht="15" hidden="0" customHeight="1">
      <x:c r="A9" s="63" t="n">
        <x:v>5</x:v>
      </x:c>
      <x:c r="B9" s="64" t="str">
        <x:v>Serviços externos/subempreitadas</x:v>
      </x:c>
      <x:c r="C9" s="64" t="str">
        <x:v>Linhas 36–40</x:v>
      </x:c>
      <x:c r="D9" s="64" t="str">
        <x:v>Quantidade × preço unitário</x:v>
      </x:c>
    </x:row>
    <x:row r="10" ht="15" hidden="0" customHeight="1">
      <x:c r="A10" s="63" t="n">
        <x:v>6</x:v>
      </x:c>
      <x:c r="B10" s="64" t="str">
        <x:v>Carrinha, máquinas e outros custos</x:v>
      </x:c>
      <x:c r="C10" s="64" t="str">
        <x:v>Linhas 45–49</x:v>
      </x:c>
      <x:c r="D10" s="64" t="str">
        <x:v>Pode adicionar alugueres e transporte</x:v>
      </x:c>
    </x:row>
    <x:row r="11" ht="15" hidden="0" customHeight="1">
      <x:c r="A11" s="63" t="n">
        <x:v>7</x:v>
      </x:c>
      <x:c r="B11" s="64" t="str">
        <x:v>Base e taxa de cada acréscimo</x:v>
      </x:c>
      <x:c r="C11" s="64" t="str">
        <x:v>Linhas 61–64</x:v>
      </x:c>
      <x:c r="D11" s="64" t="str">
        <x:v>Use as listas para indicar sobre que custo incide cada taxa</x:v>
      </x:c>
    </x:row>
    <x:row r="12" ht="15" hidden="0" customHeight="1">
      <x:c r="A12" s="63" t="n">
        <x:v>8</x:v>
      </x:c>
      <x:c r="B12" s="64" t="str">
        <x:v>Desconto, Skonto e preço manual</x:v>
      </x:c>
      <x:c r="C12" s="64" t="str">
        <x:v>Linhas 71–75</x:v>
      </x:c>
      <x:c r="D12" s="64" t="str">
        <x:v>Apague o preço manual para aceitar o preço recomendado</x:v>
      </x:c>
    </x:row>
    <x:row r="13" ht="15" hidden="0" customHeight="1">
      <x:c r="A13" s="63" t="n">
        <x:v>9</x:v>
      </x:c>
      <x:c r="B13" s="64" t="str">
        <x:v>Consultar lucro e preço por m²</x:v>
      </x:c>
      <x:c r="C13" s="64" t="str">
        <x:v>Linhas 76–79 e quadro lateral</x:v>
      </x:c>
      <x:c r="D13" s="64" t="str">
        <x:v>Não altere as células verdes</x:v>
      </x:c>
    </x:row>
    <x:row r="14">
      <x:c r="A14" s="2"/>
      <x:c r="B14" s="2"/>
      <x:c r="C14" s="2"/>
      <x:c r="D14" s="2"/>
    </x:row>
    <x:row r="15" ht="22" customHeight="1">
      <x:c r="A15" s="7" t="str">
        <x:v>LEGENDA</x:v>
      </x:c>
      <x:c r="B15" s="8" t="str">
        <x:v>LEGENDA</x:v>
      </x:c>
      <x:c r="C15" s="8" t="str">
        <x:v>LEGENDA</x:v>
      </x:c>
      <x:c r="D15" s="9" t="str">
        <x:v>LEGENDA</x:v>
      </x:c>
    </x:row>
    <x:row r="16">
      <x:c r="A16" s="67" t="str">
        <x:v>Amarelo</x:v>
      </x:c>
      <x:c r="B16" s="34" t="str">
        <x:v>Introdução manual</x:v>
      </x:c>
      <x:c r="C16" s="34" t="str">
        <x:v>Alterável</x:v>
      </x:c>
      <x:c r="D16" s="34" t="str">
        <x:v>Escreva os dados da obra</x:v>
      </x:c>
    </x:row>
    <x:row r="17">
      <x:c r="A17" s="54" t="str">
        <x:v>Verde</x:v>
      </x:c>
      <x:c r="B17" s="35" t="str">
        <x:v>Cálculo automático</x:v>
      </x:c>
      <x:c r="C17" s="35" t="str">
        <x:v>Não alterar</x:v>
      </x:c>
      <x:c r="D17" s="35" t="str">
        <x:v>Contém fórmulas</x:v>
      </x:c>
    </x:row>
    <x:row r="18">
      <x:c r="A18" s="68" t="str">
        <x:v>Azul escuro</x:v>
      </x:c>
      <x:c r="B18" s="69" t="str">
        <x:v>Totais principais</x:v>
      </x:c>
      <x:c r="C18" s="69" t="str">
        <x:v>Não alterar</x:v>
      </x:c>
      <x:c r="D18" s="69" t="str">
        <x:v>Resultados finais</x:v>
      </x:c>
    </x:row>
    <x:row r="19">
      <x:c r="A19" s="2"/>
      <x:c r="B19" s="2"/>
      <x:c r="C19" s="2"/>
      <x:c r="D19" s="2"/>
    </x:row>
    <x:row r="20" ht="55" customHeight="1">
      <x:c r="A20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  <x:c r="B20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  <x:c r="C20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  <x:c r="D20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</x:row>
    <x:row r="21" ht="55" customHeight="1">
      <x:c r="A21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  <x:c r="B21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  <x:c r="C21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  <x:c r="D21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</x:row>
    <x:row r="22" ht="55" customHeight="1">
      <x:c r="A22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  <x:c r="B22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  <x:c r="C22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  <x:c r="D22" s="72" t="str">
        <x:v>A folha original não mostrava a base dos acréscimos de 27%, 3% e 12%. Nesta calculadora, cada base fica visível e pode ser escolhida numa lista. Isto evita que um orçamento pareça lucrativo por causa de fórmulas escondidas ou mal aplicadas.</x:v>
      </x:c>
    </x:row>
  </x:sheetData>
  <x:mergeCells>
    <x:mergeCell ref="A2:D2"/>
    <x:mergeCell ref="A15:D15"/>
    <x:mergeCell ref="A20:D22"/>
  </x:mergeCells>
  <x:pageMargins left="0.7" right="0.7" top="0.75" bottom="0.75" header="0.3" footer="0.3"/>
</x:worksheet>
</file>